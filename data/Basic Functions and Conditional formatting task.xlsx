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Assignments\data\"/>
    </mc:Choice>
  </mc:AlternateContent>
  <xr:revisionPtr revIDLastSave="0" documentId="13_ncr:1_{AE444FB5-94CE-4275-9264-B044EE2647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L27" i="1"/>
  <c r="L28" i="1"/>
  <c r="K26" i="1"/>
  <c r="K27" i="1"/>
  <c r="K28" i="1"/>
  <c r="J21" i="1"/>
  <c r="I21" i="1"/>
  <c r="J20" i="1"/>
  <c r="I20" i="1"/>
  <c r="J19" i="1"/>
  <c r="I19" i="1"/>
  <c r="J18" i="1"/>
  <c r="I18" i="1"/>
  <c r="J17" i="1"/>
  <c r="I17" i="1"/>
  <c r="N17" i="1"/>
  <c r="N18" i="1"/>
  <c r="N19" i="1"/>
  <c r="N20" i="1"/>
  <c r="N16" i="1"/>
  <c r="J16" i="1"/>
  <c r="I16" i="1"/>
  <c r="O21" i="1"/>
  <c r="O17" i="1"/>
  <c r="O18" i="1"/>
  <c r="O19" i="1"/>
  <c r="O20" i="1"/>
  <c r="O16" i="1"/>
  <c r="S18" i="1"/>
  <c r="T18" i="1"/>
  <c r="U18" i="1"/>
  <c r="S19" i="1"/>
  <c r="T19" i="1"/>
  <c r="U19" i="1"/>
  <c r="S20" i="1"/>
  <c r="T20" i="1"/>
  <c r="U20" i="1"/>
  <c r="S21" i="1"/>
  <c r="T21" i="1"/>
  <c r="U21" i="1"/>
  <c r="T17" i="1"/>
  <c r="U17" i="1"/>
  <c r="S17" i="1"/>
  <c r="P5" i="1"/>
  <c r="P6" i="1"/>
  <c r="P7" i="1"/>
  <c r="P8" i="1"/>
  <c r="P4" i="1"/>
  <c r="J9" i="1"/>
  <c r="K7" i="1"/>
  <c r="I5" i="1"/>
  <c r="I7" i="1"/>
  <c r="I8" i="1"/>
  <c r="I6" i="1"/>
  <c r="J5" i="1"/>
  <c r="K5" i="1"/>
  <c r="K6" i="1"/>
  <c r="K8" i="1"/>
  <c r="K9" i="1"/>
  <c r="J6" i="1"/>
  <c r="J7" i="1"/>
  <c r="J8" i="1"/>
  <c r="I9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N21" i="1" l="1"/>
</calcChain>
</file>

<file path=xl/sharedStrings.xml><?xml version="1.0" encoding="utf-8"?>
<sst xmlns="http://schemas.openxmlformats.org/spreadsheetml/2006/main" count="74" uniqueCount="25">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</sst>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0" fillId="0" borderId="19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4D7A1C-696A-4C0A-B7BD-94CDB9063E48}" name="Table2" displayName="Table2" ref="J25:L28" totalsRowShown="0">
  <autoFilter ref="J25:L28" xr:uid="{744D7A1C-696A-4C0A-B7BD-94CDB9063E48}"/>
  <tableColumns count="3">
    <tableColumn id="1" xr3:uid="{812C87AC-9A73-4AE4-B11D-CFFE1C847A32}" name="Year"/>
    <tableColumn id="2" xr3:uid="{2F47957E-5573-4F39-BE15-F0820A00063F}" name="Quantity" dataDxfId="1">
      <calculatedColumnFormula>SUMIF($C$3:$C$26,Table2[[#This Row],[Year]],$E$3:$E$26)</calculatedColumnFormula>
    </tableColumn>
    <tableColumn id="3" xr3:uid="{941265E8-9921-42C0-93E9-715A0F2FF501}" name="Amount" dataDxfId="0">
      <calculatedColumnFormula>SUMIF($C$3:$C$26,Table2[[#This Row],[Year]],$F$3:$F$26)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topLeftCell="C9" workbookViewId="0">
      <selection activeCell="O13" sqref="O13"/>
    </sheetView>
  </sheetViews>
  <sheetFormatPr defaultRowHeight="15" x14ac:dyDescent="0.25"/>
  <cols>
    <col min="2" max="2" width="9.140625" bestFit="1" customWidth="1"/>
    <col min="6" max="6" width="10.42578125" bestFit="1" customWidth="1"/>
    <col min="8" max="8" width="10.42578125" bestFit="1" customWidth="1"/>
    <col min="9" max="10" width="10.5703125" bestFit="1" customWidth="1"/>
    <col min="11" max="11" width="11" bestFit="1" customWidth="1"/>
    <col min="12" max="12" width="10.28515625" customWidth="1"/>
    <col min="15" max="15" width="10.42578125" customWidth="1"/>
  </cols>
  <sheetData>
    <row r="1" spans="1:21" ht="25.5" x14ac:dyDescent="0.35">
      <c r="A1" s="34" t="s">
        <v>0</v>
      </c>
      <c r="B1" s="34"/>
      <c r="C1" s="34"/>
      <c r="D1" s="34"/>
      <c r="E1" s="34"/>
      <c r="F1" s="34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8" t="s">
        <v>24</v>
      </c>
      <c r="J3" s="29"/>
      <c r="K3" s="30"/>
      <c r="N3" s="7"/>
      <c r="O3" s="8" t="s">
        <v>9</v>
      </c>
      <c r="P3" s="9" t="s">
        <v>10</v>
      </c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1" t="s">
        <v>12</v>
      </c>
      <c r="O4" s="13" t="s">
        <v>13</v>
      </c>
      <c r="P4" s="14">
        <f>COUNTIF(D$3:D$26,$O4)</f>
        <v>6</v>
      </c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SUMIFS($F$3:$F$26,$C$3:$C$26,I$4,$D$3:$D$26,$H5)</f>
        <v>12320</v>
      </c>
      <c r="J5" s="25">
        <f>SUMIFS($F$3:$F$26,$C$3:$C$26,J$4,$D$3:$D$26,$H5)</f>
        <v>23100</v>
      </c>
      <c r="K5" s="25">
        <f>SUMIFS($F$3:$F$26,$C$3:$C$26,K$4,$D$3:$D$26,$H5)</f>
        <v>25520</v>
      </c>
      <c r="N5" s="32"/>
      <c r="O5" s="13" t="s">
        <v>7</v>
      </c>
      <c r="P5" s="14">
        <f t="shared" ref="P5:P8" si="1">COUNTIF(D$3:D$26,$O5)</f>
        <v>3</v>
      </c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SUMIFS($F$3:$F$26,$C$3:$C$26,I$4,$D$3:$D$26,$H6)</f>
        <v>16720</v>
      </c>
      <c r="J6" s="25">
        <f t="shared" ref="I6:K9" si="2">SUMIFS($F$3:$F$26,$C$3:$C$26,J$4,$D$3:$D$26,$H6)</f>
        <v>6160</v>
      </c>
      <c r="K6" s="25">
        <f t="shared" si="2"/>
        <v>7920</v>
      </c>
      <c r="N6" s="32"/>
      <c r="O6" s="13" t="s">
        <v>15</v>
      </c>
      <c r="P6" s="14">
        <f t="shared" si="1"/>
        <v>5</v>
      </c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SUMIFS($F$3:$F$26,$C$3:$C$26,I$4,$D$3:$D$26,$H7)</f>
        <v>26840</v>
      </c>
      <c r="J7" s="25">
        <f t="shared" si="2"/>
        <v>0</v>
      </c>
      <c r="K7" s="25">
        <f>SUMIFS($F$3:$F$26,$C$3:$C$26,K$4,$D$3:$D$26,$H7)</f>
        <v>15840</v>
      </c>
      <c r="N7" s="32"/>
      <c r="O7" s="13" t="s">
        <v>18</v>
      </c>
      <c r="P7" s="14">
        <f t="shared" si="1"/>
        <v>3</v>
      </c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SUMIFS($F$3:$F$26,$C$3:$C$26,I$4,$D$3:$D$26,$H8)</f>
        <v>19800</v>
      </c>
      <c r="J8" s="25">
        <f t="shared" si="2"/>
        <v>20900</v>
      </c>
      <c r="K8" s="25">
        <f t="shared" si="2"/>
        <v>11440</v>
      </c>
      <c r="N8" s="33"/>
      <c r="O8" s="17" t="s">
        <v>11</v>
      </c>
      <c r="P8" s="14">
        <f t="shared" si="1"/>
        <v>7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 t="shared" si="2"/>
        <v>29040</v>
      </c>
      <c r="J9" s="25">
        <f>SUMIFS($F$3:$F$26,$C$3:$C$26,J$4,$D$3:$D$26,$H9)</f>
        <v>33440</v>
      </c>
      <c r="K9" s="25">
        <f t="shared" si="2"/>
        <v>20240</v>
      </c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5" t="s">
        <v>8</v>
      </c>
      <c r="I14" s="36"/>
      <c r="J14" s="37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8" t="s">
        <v>22</v>
      </c>
      <c r="T15" s="29"/>
      <c r="U15" s="30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1" t="s">
        <v>23</v>
      </c>
      <c r="M16" s="13" t="s">
        <v>13</v>
      </c>
      <c r="N16" s="13">
        <f>SUMIF($D$3:$D$26,$M16,$E$3:$E$26)</f>
        <v>277</v>
      </c>
      <c r="O16" s="13">
        <f>SUMIF($D$3:$D$26,$M16,$F$3:$F$26)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2"/>
      <c r="M17" s="13" t="s">
        <v>7</v>
      </c>
      <c r="N17" s="13">
        <f t="shared" ref="N17:N20" si="3">SUMIF($D$3:$D$26,$M17,$E$3:$E$26)</f>
        <v>140</v>
      </c>
      <c r="O17" s="13">
        <f t="shared" ref="O17:O20" si="4">SUMIF($D$3:$D$26,$M17,$F$3:$F$26)</f>
        <v>30800</v>
      </c>
      <c r="R17" s="24" t="s">
        <v>13</v>
      </c>
      <c r="S17" s="25">
        <f>SUMIFS($E$3:$E$26,$C$3:$C$26,S$16,$D$3:$D$26,$R17)</f>
        <v>56</v>
      </c>
      <c r="T17" s="25">
        <f t="shared" ref="T17:U21" si="5">SUMIFS($E$3:$E$26,$C$3:$C$26,T$16,$D$3:$D$26,$R17)</f>
        <v>105</v>
      </c>
      <c r="U17" s="25">
        <f t="shared" si="5"/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2"/>
      <c r="M18" s="13" t="s">
        <v>15</v>
      </c>
      <c r="N18" s="13">
        <f t="shared" si="3"/>
        <v>194</v>
      </c>
      <c r="O18" s="13">
        <f t="shared" si="4"/>
        <v>42680</v>
      </c>
      <c r="R18" s="24" t="s">
        <v>7</v>
      </c>
      <c r="S18" s="25">
        <f t="shared" ref="S18:S21" si="6">SUMIFS($E$3:$E$26,$C$3:$C$26,S$16,$D$3:$D$26,$R18)</f>
        <v>76</v>
      </c>
      <c r="T18" s="25">
        <f t="shared" si="5"/>
        <v>28</v>
      </c>
      <c r="U18" s="25">
        <f t="shared" si="5"/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2"/>
      <c r="M19" s="13" t="s">
        <v>18</v>
      </c>
      <c r="N19" s="13">
        <f t="shared" si="3"/>
        <v>237</v>
      </c>
      <c r="O19" s="13">
        <f t="shared" si="4"/>
        <v>52140</v>
      </c>
      <c r="R19" s="24" t="s">
        <v>15</v>
      </c>
      <c r="S19" s="25">
        <f t="shared" si="6"/>
        <v>122</v>
      </c>
      <c r="T19" s="25">
        <f t="shared" si="5"/>
        <v>0</v>
      </c>
      <c r="U19" s="25">
        <f t="shared" si="5"/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3"/>
      <c r="M20" s="17" t="s">
        <v>11</v>
      </c>
      <c r="N20" s="13">
        <f t="shared" si="3"/>
        <v>376</v>
      </c>
      <c r="O20" s="13">
        <f t="shared" si="4"/>
        <v>82720</v>
      </c>
      <c r="R20" s="24" t="s">
        <v>18</v>
      </c>
      <c r="S20" s="25">
        <f t="shared" si="6"/>
        <v>90</v>
      </c>
      <c r="T20" s="25">
        <f t="shared" si="5"/>
        <v>95</v>
      </c>
      <c r="U20" s="25">
        <f t="shared" si="5"/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N21" s="27">
        <f>SUM(N16:N20)</f>
        <v>1224</v>
      </c>
      <c r="O21" s="27">
        <f>SUM(O16:O20)</f>
        <v>269280</v>
      </c>
      <c r="R21" s="26" t="s">
        <v>11</v>
      </c>
      <c r="S21" s="25">
        <f t="shared" si="6"/>
        <v>132</v>
      </c>
      <c r="T21" s="25">
        <f t="shared" si="5"/>
        <v>152</v>
      </c>
      <c r="U21" s="25">
        <f t="shared" si="5"/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J25" t="s">
        <v>3</v>
      </c>
      <c r="K25" t="s">
        <v>10</v>
      </c>
      <c r="L25" t="s">
        <v>6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  <c r="J26">
        <v>2010</v>
      </c>
      <c r="K26">
        <f>SUMIF($C$3:$C$26,Table2[[#This Row],[Year]],$E$3:$E$26)</f>
        <v>476</v>
      </c>
      <c r="L26">
        <f>SUMIF($C$3:$C$26,Table2[[#This Row],[Year]],$F$3:$F$26)</f>
        <v>104720</v>
      </c>
    </row>
    <row r="27" spans="1:21" x14ac:dyDescent="0.25">
      <c r="J27">
        <v>2011</v>
      </c>
      <c r="K27">
        <f>SUMIF($C$3:$C$26,Table2[[#This Row],[Year]],$E$3:$E$26)</f>
        <v>380</v>
      </c>
      <c r="L27">
        <f>SUMIF($C$3:$C$26,Table2[[#This Row],[Year]],$F$3:$F$26)</f>
        <v>83600</v>
      </c>
    </row>
    <row r="28" spans="1:21" x14ac:dyDescent="0.25">
      <c r="J28">
        <v>2012</v>
      </c>
      <c r="K28">
        <f>SUMIF($C$3:$C$26,Table2[[#This Row],[Year]],$E$3:$E$26)</f>
        <v>368</v>
      </c>
      <c r="L28">
        <f>SUMIF($C$3:$C$26,Table2[[#This Row],[Year]],$F$3:$F$26)</f>
        <v>80960</v>
      </c>
    </row>
  </sheetData>
  <mergeCells count="6">
    <mergeCell ref="S15:U15"/>
    <mergeCell ref="L16:L20"/>
    <mergeCell ref="I3:K3"/>
    <mergeCell ref="A1:F1"/>
    <mergeCell ref="H14:J14"/>
    <mergeCell ref="N4:N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Kaothar Owolabi</cp:lastModifiedBy>
  <dcterms:created xsi:type="dcterms:W3CDTF">2024-05-08T21:08:42Z</dcterms:created>
  <dcterms:modified xsi:type="dcterms:W3CDTF">2026-05-12T13:05:53Z</dcterms:modified>
</cp:coreProperties>
</file>